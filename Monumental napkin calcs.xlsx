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brouwer/Documents/Career stuff/Monumental WP/"/>
    </mc:Choice>
  </mc:AlternateContent>
  <xr:revisionPtr revIDLastSave="0" documentId="8_{1F9585F8-24C2-3742-A24B-774073D84129}" xr6:coauthVersionLast="47" xr6:coauthVersionMax="47" xr10:uidLastSave="{00000000-0000-0000-0000-000000000000}"/>
  <bookViews>
    <workbookView xWindow="0" yWindow="1560" windowWidth="17100" windowHeight="21480" xr2:uid="{159C8A59-5E0F-EF42-A43F-9BFC1DDBAB13}"/>
  </bookViews>
  <sheets>
    <sheet name="First-Principles Energy stuff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22" i="2"/>
  <c r="C21" i="2"/>
  <c r="C13" i="2"/>
  <c r="C11" i="2"/>
  <c r="C10" i="2"/>
  <c r="C8" i="2"/>
</calcChain>
</file>

<file path=xl/sharedStrings.xml><?xml version="1.0" encoding="utf-8"?>
<sst xmlns="http://schemas.openxmlformats.org/spreadsheetml/2006/main" count="41" uniqueCount="37">
  <si>
    <t>Monumental system cost-benefit analysis</t>
  </si>
  <si>
    <t>System initial CAPEX</t>
  </si>
  <si>
    <t>Target BPM</t>
  </si>
  <si>
    <t>Current BPM</t>
  </si>
  <si>
    <t>Stationing efficiency</t>
  </si>
  <si>
    <t>How efficiently can the robot be deployed mostly not a hardware problem</t>
  </si>
  <si>
    <t>Arm assembly mass</t>
  </si>
  <si>
    <t>arm assembly peak speed</t>
  </si>
  <si>
    <t>m/s</t>
  </si>
  <si>
    <t>kg</t>
  </si>
  <si>
    <t>brick mass</t>
  </si>
  <si>
    <t>Lift 1m (mean height)</t>
  </si>
  <si>
    <t>J</t>
  </si>
  <si>
    <t>BPM</t>
  </si>
  <si>
    <t>Counterbalance mass</t>
  </si>
  <si>
    <t>kinetic energy</t>
  </si>
  <si>
    <t>Power (assume mortar onsumes same as brick tower</t>
  </si>
  <si>
    <t>W</t>
  </si>
  <si>
    <t>Obviously unrealistically low, just trying to see how what the raw numbers look like</t>
  </si>
  <si>
    <t>$/kwh</t>
  </si>
  <si>
    <t>energy cost kwh NL (High estimate)</t>
  </si>
  <si>
    <t>arbitrary multiple</t>
  </si>
  <si>
    <t>hourly power requirement</t>
  </si>
  <si>
    <t>kwh</t>
  </si>
  <si>
    <t>cost</t>
  </si>
  <si>
    <t>$</t>
  </si>
  <si>
    <t>CAPEX</t>
  </si>
  <si>
    <t>Usefull life</t>
  </si>
  <si>
    <t>Y</t>
  </si>
  <si>
    <t>Operational efficiency</t>
  </si>
  <si>
    <t>How much time it is laying brick per year</t>
  </si>
  <si>
    <t>Bricks laid</t>
  </si>
  <si>
    <t>bricks</t>
  </si>
  <si>
    <t>cost per brick</t>
  </si>
  <si>
    <t>CAPEX is not sensitive clearly</t>
  </si>
  <si>
    <t>Finding: Moving the arm fast costs a fair amount of energy relative to the GPE of the brick</t>
  </si>
  <si>
    <t>Energy cost and amortisation play a minor role in cost dominance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</si>
</sst>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7739-D4CD-2A46-8704-FDD8B79D25FA}">
  <dimension ref="B3:E37"/>
  <sheetViews>
    <sheetView tabSelected="1" workbookViewId="0">
      <selection activeCell="E44" sqref="E44"/>
    </sheetView>
  </sheetViews>
  <sheetFormatPr baseColWidth="10" defaultRowHeight="16" x14ac:dyDescent="0.2"/>
  <cols>
    <col min="2" max="2" width="47.5" bestFit="1" customWidth="1"/>
  </cols>
  <sheetData>
    <row r="3" spans="2:5" x14ac:dyDescent="0.2">
      <c r="B3" t="s">
        <v>13</v>
      </c>
      <c r="C3">
        <v>2</v>
      </c>
    </row>
    <row r="4" spans="2:5" x14ac:dyDescent="0.2">
      <c r="B4" t="s">
        <v>6</v>
      </c>
      <c r="C4">
        <v>30</v>
      </c>
      <c r="D4" t="s">
        <v>9</v>
      </c>
    </row>
    <row r="5" spans="2:5" x14ac:dyDescent="0.2">
      <c r="B5" t="s">
        <v>7</v>
      </c>
      <c r="C5">
        <v>3</v>
      </c>
      <c r="D5" t="s">
        <v>8</v>
      </c>
    </row>
    <row r="6" spans="2:5" x14ac:dyDescent="0.2">
      <c r="B6" t="s">
        <v>10</v>
      </c>
      <c r="C6">
        <v>3</v>
      </c>
    </row>
    <row r="8" spans="2:5" x14ac:dyDescent="0.2">
      <c r="B8" t="s">
        <v>11</v>
      </c>
      <c r="C8">
        <f>9.81*C6</f>
        <v>29.43</v>
      </c>
      <c r="D8" t="s">
        <v>12</v>
      </c>
    </row>
    <row r="9" spans="2:5" x14ac:dyDescent="0.2">
      <c r="B9" t="s">
        <v>14</v>
      </c>
      <c r="C9">
        <v>31.5</v>
      </c>
      <c r="D9" t="s">
        <v>9</v>
      </c>
    </row>
    <row r="10" spans="2:5" x14ac:dyDescent="0.2">
      <c r="B10" t="s">
        <v>15</v>
      </c>
      <c r="C10">
        <f>0.5*0.5*(C9+C4)*C5^2</f>
        <v>138.375</v>
      </c>
      <c r="D10" t="s">
        <v>12</v>
      </c>
    </row>
    <row r="11" spans="2:5" x14ac:dyDescent="0.2">
      <c r="B11" t="s">
        <v>16</v>
      </c>
      <c r="C11">
        <f>2* (C10+C8)/(60/C3)</f>
        <v>11.187000000000001</v>
      </c>
      <c r="D11" t="s">
        <v>17</v>
      </c>
      <c r="E11" t="s">
        <v>18</v>
      </c>
    </row>
    <row r="12" spans="2:5" x14ac:dyDescent="0.2">
      <c r="B12" t="s">
        <v>21</v>
      </c>
      <c r="C12">
        <v>20</v>
      </c>
    </row>
    <row r="13" spans="2:5" x14ac:dyDescent="0.2">
      <c r="B13" t="s">
        <v>22</v>
      </c>
      <c r="C13">
        <f>C12*C11/1000</f>
        <v>0.22374000000000002</v>
      </c>
      <c r="D13" t="s">
        <v>23</v>
      </c>
    </row>
    <row r="14" spans="2:5" x14ac:dyDescent="0.2">
      <c r="B14" t="s">
        <v>24</v>
      </c>
      <c r="C14">
        <f>C13*C15</f>
        <v>6.7122000000000001E-2</v>
      </c>
      <c r="D14" t="s">
        <v>25</v>
      </c>
    </row>
    <row r="15" spans="2:5" x14ac:dyDescent="0.2">
      <c r="B15" t="s">
        <v>20</v>
      </c>
      <c r="C15">
        <v>0.3</v>
      </c>
      <c r="D15" t="s">
        <v>19</v>
      </c>
    </row>
    <row r="18" spans="2:5" x14ac:dyDescent="0.2">
      <c r="B18" t="s">
        <v>26</v>
      </c>
      <c r="C18">
        <v>50000</v>
      </c>
      <c r="D18" t="s">
        <v>25</v>
      </c>
    </row>
    <row r="19" spans="2:5" x14ac:dyDescent="0.2">
      <c r="B19" t="s">
        <v>27</v>
      </c>
      <c r="C19">
        <v>5</v>
      </c>
      <c r="D19" t="s">
        <v>28</v>
      </c>
    </row>
    <row r="20" spans="2:5" x14ac:dyDescent="0.2">
      <c r="B20" t="s">
        <v>29</v>
      </c>
      <c r="C20">
        <v>0.6</v>
      </c>
      <c r="E20" t="s">
        <v>30</v>
      </c>
    </row>
    <row r="21" spans="2:5" x14ac:dyDescent="0.2">
      <c r="B21" t="s">
        <v>31</v>
      </c>
      <c r="C21">
        <f>365*24*60*C3*C19</f>
        <v>5256000</v>
      </c>
      <c r="D21" t="s">
        <v>32</v>
      </c>
    </row>
    <row r="22" spans="2:5" x14ac:dyDescent="0.2">
      <c r="B22" t="s">
        <v>33</v>
      </c>
      <c r="C22">
        <f>C18/C21</f>
        <v>9.5129375951293754E-3</v>
      </c>
      <c r="D22" t="s">
        <v>25</v>
      </c>
      <c r="E22" t="s">
        <v>34</v>
      </c>
    </row>
    <row r="36" spans="2:2" x14ac:dyDescent="0.2">
      <c r="B36" t="s">
        <v>35</v>
      </c>
    </row>
    <row r="37" spans="2:2" x14ac:dyDescent="0.2">
      <c r="B3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EC41-F9ED-4D4D-9D65-2BBC51672D0A}">
  <dimension ref="B3:D8"/>
  <sheetViews>
    <sheetView workbookViewId="0">
      <selection activeCell="B17" sqref="B17"/>
    </sheetView>
  </sheetViews>
  <sheetFormatPr baseColWidth="10" defaultRowHeight="16" x14ac:dyDescent="0.2"/>
  <cols>
    <col min="2" max="2" width="35" bestFit="1" customWidth="1"/>
  </cols>
  <sheetData>
    <row r="3" spans="2:4" x14ac:dyDescent="0.2">
      <c r="B3" t="s">
        <v>0</v>
      </c>
    </row>
    <row r="5" spans="2:4" x14ac:dyDescent="0.2">
      <c r="B5" t="s">
        <v>1</v>
      </c>
      <c r="C5">
        <v>5000</v>
      </c>
    </row>
    <row r="6" spans="2:4" x14ac:dyDescent="0.2">
      <c r="B6" t="s">
        <v>2</v>
      </c>
      <c r="C6">
        <v>3</v>
      </c>
    </row>
    <row r="7" spans="2:4" x14ac:dyDescent="0.2">
      <c r="B7" t="s">
        <v>3</v>
      </c>
      <c r="C7">
        <v>1</v>
      </c>
    </row>
    <row r="8" spans="2:4" x14ac:dyDescent="0.2">
      <c r="B8" t="s">
        <v>4</v>
      </c>
      <c r="C8">
        <v>0.6</v>
      </c>
      <c r="D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First-Principles Energy stuff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Brouwer, Louis D S</dc:creator>
  <cp:lastModifiedBy>Brouwer, Louis D S</cp:lastModifiedBy>
  <dcterms:created xsi:type="dcterms:W3CDTF">2026-04-25T12:56:36Z</dcterms:created>
  <dcterms:modified xsi:type="dcterms:W3CDTF">2026-04-26T20:51:13Z</dcterms:modified>
</cp:coreProperties>
</file>